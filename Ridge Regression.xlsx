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fakad\OneDrive\Desktop\GitHub Projetcs\Ridge Regression\"/>
    </mc:Choice>
  </mc:AlternateContent>
  <xr:revisionPtr revIDLastSave="0" documentId="13_ncr:1_{6E9376D3-DA0C-4997-8984-637BACB726E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4" i="1" l="1"/>
  <c r="B87" i="1"/>
  <c r="B86" i="1"/>
  <c r="B85" i="1"/>
  <c r="B81" i="1"/>
  <c r="B82" i="1"/>
  <c r="B80" i="1"/>
  <c r="H54" i="1"/>
  <c r="H53" i="1"/>
  <c r="H52" i="1"/>
  <c r="B74" i="1" a="1"/>
  <c r="B74" i="1" s="1"/>
  <c r="D70" i="1"/>
  <c r="C71" i="1"/>
  <c r="D71" i="1"/>
  <c r="C70" i="1"/>
  <c r="B70" i="1"/>
  <c r="B71" i="1"/>
  <c r="C69" i="1"/>
  <c r="D69" i="1"/>
  <c r="B69" i="1"/>
  <c r="H48" i="1"/>
  <c r="H49" i="1"/>
  <c r="H47" i="1"/>
  <c r="H44" i="1"/>
  <c r="I44" i="1"/>
  <c r="J44" i="1"/>
  <c r="H43" i="1"/>
  <c r="J43" i="1"/>
  <c r="I43" i="1"/>
  <c r="H42" i="1"/>
  <c r="I42" i="1"/>
  <c r="J42" i="1"/>
  <c r="B30" i="1"/>
  <c r="E28" i="1"/>
  <c r="D28" i="1"/>
  <c r="B28" i="1"/>
  <c r="C28" i="1"/>
  <c r="E29" i="1" l="1"/>
  <c r="C29" i="1"/>
  <c r="H25" i="1" s="1"/>
  <c r="B29" i="1"/>
  <c r="G9" i="1" s="1"/>
  <c r="D29" i="1"/>
  <c r="I23" i="1" s="1"/>
  <c r="H13" i="1"/>
  <c r="H19" i="1"/>
  <c r="G12" i="1"/>
  <c r="I8" i="1"/>
  <c r="I20" i="1"/>
  <c r="I9" i="1"/>
  <c r="I21" i="1"/>
  <c r="I10" i="1"/>
  <c r="I25" i="1"/>
  <c r="I15" i="1"/>
  <c r="I27" i="1"/>
  <c r="I4" i="1"/>
  <c r="I5" i="1"/>
  <c r="I17" i="1"/>
  <c r="I6" i="1"/>
  <c r="I19" i="1"/>
  <c r="J8" i="1"/>
  <c r="J20" i="1"/>
  <c r="J9" i="1"/>
  <c r="J21" i="1"/>
  <c r="J10" i="1"/>
  <c r="J22" i="1"/>
  <c r="J11" i="1"/>
  <c r="J23" i="1"/>
  <c r="J12" i="1"/>
  <c r="J24" i="1"/>
  <c r="J13" i="1"/>
  <c r="J25" i="1"/>
  <c r="J27" i="1"/>
  <c r="J14" i="1"/>
  <c r="J26" i="1"/>
  <c r="J16" i="1"/>
  <c r="J3" i="1"/>
  <c r="J18" i="1"/>
  <c r="J15" i="1"/>
  <c r="J17" i="1"/>
  <c r="J19" i="1"/>
  <c r="J4" i="1"/>
  <c r="J5" i="1"/>
  <c r="J6" i="1"/>
  <c r="J7" i="1"/>
  <c r="I18" i="1" l="1"/>
  <c r="I13" i="1"/>
  <c r="I16" i="1"/>
  <c r="I24" i="1"/>
  <c r="I7" i="1"/>
  <c r="I11" i="1"/>
  <c r="I3" i="1"/>
  <c r="I22" i="1"/>
  <c r="H18" i="1"/>
  <c r="G8" i="1"/>
  <c r="G19" i="1"/>
  <c r="G27" i="1"/>
  <c r="G7" i="1"/>
  <c r="H14" i="1"/>
  <c r="H22" i="1"/>
  <c r="G23" i="1"/>
  <c r="G18" i="1"/>
  <c r="H7" i="1"/>
  <c r="H10" i="1"/>
  <c r="H21" i="1"/>
  <c r="G20" i="1"/>
  <c r="H12" i="1"/>
  <c r="H23" i="1"/>
  <c r="H26" i="1"/>
  <c r="G11" i="1"/>
  <c r="G6" i="1"/>
  <c r="G3" i="1"/>
  <c r="H9" i="1"/>
  <c r="G4" i="1"/>
  <c r="H17" i="1"/>
  <c r="G14" i="1"/>
  <c r="H5" i="1"/>
  <c r="H27" i="1"/>
  <c r="H8" i="1"/>
  <c r="G21" i="1"/>
  <c r="H24" i="1"/>
  <c r="H4" i="1"/>
  <c r="G16" i="1"/>
  <c r="H15" i="1"/>
  <c r="G25" i="1"/>
  <c r="H11" i="1"/>
  <c r="H3" i="1"/>
  <c r="G17" i="1"/>
  <c r="H6" i="1"/>
  <c r="G5" i="1"/>
  <c r="H20" i="1"/>
  <c r="G13" i="1"/>
  <c r="H16" i="1"/>
  <c r="G15" i="1"/>
  <c r="G22" i="1"/>
  <c r="G26" i="1"/>
  <c r="G10" i="1"/>
  <c r="G24" i="1"/>
  <c r="I26" i="1"/>
  <c r="I12" i="1"/>
  <c r="I14" i="1"/>
  <c r="J28" i="1"/>
  <c r="J29" i="1" s="1"/>
  <c r="I28" i="1" l="1"/>
  <c r="I29" i="1" s="1"/>
  <c r="H28" i="1"/>
  <c r="H29" i="1" s="1"/>
  <c r="G28" i="1"/>
  <c r="G29" i="1" s="1"/>
  <c r="L21" i="1" s="1"/>
  <c r="L13" i="1"/>
  <c r="L14" i="1"/>
  <c r="L8" i="1"/>
  <c r="L9" i="1"/>
  <c r="L10" i="1"/>
  <c r="L11" i="1"/>
  <c r="L25" i="1"/>
  <c r="L26" i="1"/>
  <c r="L20" i="1"/>
  <c r="L12" i="1"/>
  <c r="L24" i="1"/>
  <c r="L4" i="1"/>
  <c r="L7" i="1"/>
  <c r="L27" i="1"/>
  <c r="L5" i="1"/>
  <c r="L6" i="1"/>
  <c r="L15" i="1"/>
  <c r="L18" i="1"/>
  <c r="L16" i="1"/>
  <c r="O5" i="1"/>
  <c r="O17" i="1"/>
  <c r="O6" i="1"/>
  <c r="O18" i="1"/>
  <c r="O22" i="1"/>
  <c r="O12" i="1"/>
  <c r="O24" i="1"/>
  <c r="O25" i="1"/>
  <c r="O14" i="1"/>
  <c r="O27" i="1"/>
  <c r="O4" i="1"/>
  <c r="O3" i="1"/>
  <c r="O11" i="1"/>
  <c r="O23" i="1"/>
  <c r="O13" i="1"/>
  <c r="O26" i="1"/>
  <c r="O15" i="1"/>
  <c r="O16" i="1"/>
  <c r="O10" i="1"/>
  <c r="O19" i="1"/>
  <c r="O8" i="1"/>
  <c r="O7" i="1"/>
  <c r="O21" i="1"/>
  <c r="O20" i="1"/>
  <c r="O9" i="1"/>
  <c r="M6" i="1"/>
  <c r="M18" i="1"/>
  <c r="M3" i="1"/>
  <c r="M13" i="1"/>
  <c r="M14" i="1"/>
  <c r="M15" i="1"/>
  <c r="M4" i="1"/>
  <c r="M17" i="1"/>
  <c r="M25" i="1"/>
  <c r="M26" i="1"/>
  <c r="M27" i="1"/>
  <c r="M16" i="1"/>
  <c r="M5" i="1"/>
  <c r="M10" i="1"/>
  <c r="M21" i="1"/>
  <c r="M24" i="1"/>
  <c r="M20" i="1"/>
  <c r="M12" i="1"/>
  <c r="M9" i="1"/>
  <c r="M8" i="1"/>
  <c r="M22" i="1"/>
  <c r="M19" i="1"/>
  <c r="M7" i="1"/>
  <c r="M23" i="1"/>
  <c r="M11" i="1"/>
  <c r="N5" i="1"/>
  <c r="N6" i="1"/>
  <c r="N18" i="1"/>
  <c r="N23" i="1"/>
  <c r="N24" i="1"/>
  <c r="N14" i="1"/>
  <c r="N15" i="1"/>
  <c r="N17" i="1"/>
  <c r="N11" i="1"/>
  <c r="N12" i="1"/>
  <c r="N13" i="1"/>
  <c r="N25" i="1"/>
  <c r="N26" i="1"/>
  <c r="N27" i="1"/>
  <c r="N16" i="1"/>
  <c r="N3" i="1"/>
  <c r="N4" i="1"/>
  <c r="N21" i="1"/>
  <c r="N22" i="1"/>
  <c r="N19" i="1"/>
  <c r="N10" i="1"/>
  <c r="N20" i="1"/>
  <c r="N9" i="1"/>
  <c r="N8" i="1"/>
  <c r="N7" i="1"/>
  <c r="L19" i="1" l="1"/>
  <c r="L23" i="1"/>
  <c r="L3" i="1"/>
  <c r="L22" i="1"/>
  <c r="L1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<sst xmlns="http://schemas.openxmlformats.org/spreadsheetml/2006/main" count="39" uniqueCount="38">
  <si>
    <t>Tar X1 (mg)</t>
  </si>
  <si>
    <t>Nicotine X2 (mg)</t>
  </si>
  <si>
    <t>Weight X3 (g)</t>
  </si>
  <si>
    <t>Carbon Monoxide Y (mg)</t>
  </si>
  <si>
    <t>Sum</t>
  </si>
  <si>
    <t>MEAN</t>
  </si>
  <si>
    <t>N</t>
  </si>
  <si>
    <t>Standard Deviation</t>
  </si>
  <si>
    <t>Tar X1 (mg) Squared Diff</t>
  </si>
  <si>
    <t>Nicotine X2 (mg) Squared Diff</t>
  </si>
  <si>
    <t>Weight X3 (g) Squared Diff</t>
  </si>
  <si>
    <t>Carbon Monoxide Y (mg) Squared Diff</t>
  </si>
  <si>
    <t>Tar X1 (mg) Standardise</t>
  </si>
  <si>
    <t>Nicotine X2 (mg) Standardise</t>
  </si>
  <si>
    <t>Weight X3 (g) Standardise</t>
  </si>
  <si>
    <t>Carbon Monoxide Y (mg) Standardise</t>
  </si>
  <si>
    <t>STEP 1: STANDADISE</t>
  </si>
  <si>
    <t>STEP 2: MATRIX ALGEBRA</t>
  </si>
  <si>
    <t>Tar X1* (mg) Inverse</t>
  </si>
  <si>
    <t>Nicotine X2* (mg) Inverse</t>
  </si>
  <si>
    <t>Weight X3* (g) Inverse</t>
  </si>
  <si>
    <t>Carbon Monoxide Y* (mg) Inverse</t>
  </si>
  <si>
    <t>X* Transpose</t>
  </si>
  <si>
    <t>Y* Transpose</t>
  </si>
  <si>
    <t>(X* Transpose)(X*)</t>
  </si>
  <si>
    <t>(X* Transpose)(Y*)</t>
  </si>
  <si>
    <t>Identity</t>
  </si>
  <si>
    <t>STEP 3: RIDGE POINT ESTIMATES</t>
  </si>
  <si>
    <t>(X* Transpose)(X*) + C</t>
  </si>
  <si>
    <t>Biasing Constant</t>
  </si>
  <si>
    <t>Inverse (X*Transpose)(X*) + C</t>
  </si>
  <si>
    <t>STEP 4: RIDGE PARAMETER ESTIMATES</t>
  </si>
  <si>
    <t>(Inverse (X*Transpose)(X*) + C) (X*Y*)</t>
  </si>
  <si>
    <t>X* Y*</t>
  </si>
  <si>
    <t>b0;R</t>
  </si>
  <si>
    <t>b1;R</t>
  </si>
  <si>
    <t>b2;R</t>
  </si>
  <si>
    <t>b3;R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</si>
</sst>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9" formatCode="0.00000000"/>
    <numFmt numFmtId="170" formatCode="0.0000000"/>
    <numFmt numFmtId="172" formatCode="0.0000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Segoe UI"/>
      <family val="2"/>
    </font>
    <font>
      <sz val="9"/>
      <color theme="1"/>
      <name val="Segoe UI"/>
      <family val="2"/>
    </font>
    <font>
      <b/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2" fontId="0" fillId="0" borderId="0" xfId="0" applyNumberFormat="1"/>
    <xf numFmtId="0" fontId="1" fillId="0" borderId="0" xfId="0" applyFont="1"/>
    <xf numFmtId="0" fontId="1" fillId="0" borderId="0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4" xfId="0" applyFill="1" applyBorder="1"/>
    <xf numFmtId="0" fontId="1" fillId="0" borderId="0" xfId="0" applyFont="1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4" fillId="4" borderId="0" xfId="0" applyFont="1" applyFill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Border="1"/>
    <xf numFmtId="169" fontId="0" fillId="0" borderId="0" xfId="0" applyNumberFormat="1"/>
    <xf numFmtId="1" fontId="0" fillId="0" borderId="0" xfId="0" applyNumberFormat="1"/>
    <xf numFmtId="170" fontId="0" fillId="0" borderId="0" xfId="0" applyNumberFormat="1"/>
    <xf numFmtId="0" fontId="1" fillId="0" borderId="6" xfId="0" applyFont="1" applyBorder="1"/>
    <xf numFmtId="0" fontId="0" fillId="0" borderId="2" xfId="0" applyFill="1" applyBorder="1" applyAlignment="1">
      <alignment vertical="center" wrapText="1"/>
    </xf>
    <xf numFmtId="172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7"/>
  <sheetViews>
    <sheetView tabSelected="1" zoomScale="86" workbookViewId="0">
      <selection activeCell="D84" sqref="D84"/>
    </sheetView>
  </sheetViews>
  <sheetFormatPr defaultRowHeight="14.4" x14ac:dyDescent="0.3"/>
  <cols>
    <col min="1" max="1" width="18.33203125" customWidth="1"/>
    <col min="2" max="2" width="26.109375" customWidth="1"/>
    <col min="3" max="3" width="15.44140625" customWidth="1"/>
    <col min="4" max="4" width="12.77734375" customWidth="1"/>
    <col min="5" max="5" width="17" customWidth="1"/>
    <col min="6" max="6" width="22.5546875" customWidth="1"/>
    <col min="7" max="7" width="12.5546875" customWidth="1"/>
    <col min="8" max="8" width="20.109375" customWidth="1"/>
    <col min="9" max="9" width="12.44140625" customWidth="1"/>
    <col min="10" max="10" width="20.88671875" customWidth="1"/>
    <col min="12" max="12" width="14.6640625" customWidth="1"/>
    <col min="13" max="13" width="15.5546875" customWidth="1"/>
    <col min="14" max="14" width="14.21875" customWidth="1"/>
    <col min="15" max="15" width="21.109375" customWidth="1"/>
    <col min="16" max="31" width="13.77734375" customWidth="1"/>
    <col min="32" max="32" width="14" customWidth="1"/>
  </cols>
  <sheetData>
    <row r="1" spans="1:15" ht="28.8" x14ac:dyDescent="0.55000000000000004">
      <c r="A1" s="19" t="s">
        <v>16</v>
      </c>
      <c r="B1" s="19"/>
      <c r="C1" s="19"/>
      <c r="D1" s="19"/>
      <c r="E1" s="19"/>
    </row>
    <row r="2" spans="1:15" ht="39.6" x14ac:dyDescent="0.3">
      <c r="B2" s="1" t="s">
        <v>0</v>
      </c>
      <c r="C2" s="1" t="s">
        <v>1</v>
      </c>
      <c r="D2" s="2" t="s">
        <v>2</v>
      </c>
      <c r="E2" s="1" t="s">
        <v>3</v>
      </c>
      <c r="G2" s="1" t="s">
        <v>8</v>
      </c>
      <c r="H2" s="1" t="s">
        <v>9</v>
      </c>
      <c r="I2" s="2" t="s">
        <v>10</v>
      </c>
      <c r="J2" s="1" t="s">
        <v>11</v>
      </c>
      <c r="L2" s="14" t="s">
        <v>12</v>
      </c>
      <c r="M2" s="14" t="s">
        <v>13</v>
      </c>
      <c r="N2" s="15" t="s">
        <v>14</v>
      </c>
      <c r="O2" s="14" t="s">
        <v>15</v>
      </c>
    </row>
    <row r="3" spans="1:15" x14ac:dyDescent="0.3">
      <c r="B3" s="3">
        <v>14.1</v>
      </c>
      <c r="C3" s="3">
        <v>0.86</v>
      </c>
      <c r="D3" s="3">
        <v>0.98529999999999995</v>
      </c>
      <c r="E3" s="3">
        <v>13.6</v>
      </c>
      <c r="G3" s="9">
        <f>(B3-$B$29)*(B3-$B$29)</f>
        <v>3.5494559999999877</v>
      </c>
      <c r="H3" s="9">
        <f>(C3-$C$29)*(C3-$C$29)</f>
        <v>2.6896000000000992E-4</v>
      </c>
      <c r="I3" s="9">
        <f>(D3-$D$29)*(D3-$D$29)</f>
        <v>2.2548025599999756E-4</v>
      </c>
      <c r="J3" s="9">
        <f>(E3-$E$29)*(E3-$E$29)</f>
        <v>1.149184000000002</v>
      </c>
      <c r="L3" s="16">
        <f>(1/SQRT($B$30-1))*((B3-$B$29)/$G$29)</f>
        <v>6.7875538947435962E-2</v>
      </c>
      <c r="M3" s="16">
        <f>(1/SQRT($B$30-1))*((C3-$C$29)/$H$29)</f>
        <v>-9.4550396558751963E-3</v>
      </c>
      <c r="N3" s="16">
        <f>(1/SQRT($B$30-1))*((D3-$D$29)/$I$29)</f>
        <v>3.494158630535369E-2</v>
      </c>
      <c r="O3" s="16">
        <f>(1/SQRT($B$30-1))*((E3-$E$29)/$J$29)</f>
        <v>4.6167867987589602E-2</v>
      </c>
    </row>
    <row r="4" spans="1:15" x14ac:dyDescent="0.3">
      <c r="B4" s="4">
        <v>16</v>
      </c>
      <c r="C4" s="4">
        <v>1.06</v>
      </c>
      <c r="D4" s="4">
        <v>1.0938000000000001</v>
      </c>
      <c r="E4" s="4">
        <v>16.600000000000001</v>
      </c>
      <c r="G4" s="10">
        <f t="shared" ref="G4:G27" si="0">(B4-$B$29)*(B4-$B$29)</f>
        <v>14.318655999999978</v>
      </c>
      <c r="H4" s="10">
        <f t="shared" ref="H4:H27" si="1">(C4-$C$29)*(C4-$C$29)</f>
        <v>3.3708959999999913E-2</v>
      </c>
      <c r="I4" s="10">
        <f t="shared" ref="I4:I27" si="2">(D4-$D$29)*(D4-$D$29)</f>
        <v>1.5256202256000018E-2</v>
      </c>
      <c r="J4" s="10">
        <f t="shared" ref="J4:J27" si="3">(E4-$E$29)*(E4-$E$29)</f>
        <v>16.581184000000022</v>
      </c>
      <c r="L4" s="17">
        <f t="shared" ref="L4:L27" si="4">(1/SQRT($B$30-1))*((B4-$B$29)/$G$29)</f>
        <v>0.13632751559293946</v>
      </c>
      <c r="M4" s="17">
        <f t="shared" ref="M4:M27" si="5">(1/SQRT($B$30-1))*((C4-$C$29)/$H$29)</f>
        <v>0.1058503220011373</v>
      </c>
      <c r="N4" s="17">
        <f t="shared" ref="N4:N27" si="6">(1/SQRT($B$30-1))*((D4-$D$29)/$I$29)</f>
        <v>0.28741642075733165</v>
      </c>
      <c r="O4" s="17">
        <f t="shared" ref="O4:O27" si="7">(1/SQRT($B$30-1))*((E4-$E$29)/$J$29)</f>
        <v>0.17536899108718734</v>
      </c>
    </row>
    <row r="5" spans="1:15" x14ac:dyDescent="0.3">
      <c r="B5" s="4">
        <v>29.8</v>
      </c>
      <c r="C5" s="4">
        <v>2.0299999999999998</v>
      </c>
      <c r="D5" s="4">
        <v>1.165</v>
      </c>
      <c r="E5" s="4">
        <v>23.5</v>
      </c>
      <c r="G5" s="10">
        <f t="shared" si="0"/>
        <v>309.19705599999986</v>
      </c>
      <c r="H5" s="10">
        <f t="shared" si="1"/>
        <v>1.3307929599999988</v>
      </c>
      <c r="I5" s="10">
        <f t="shared" si="2"/>
        <v>3.7914320655999999E-2</v>
      </c>
      <c r="J5" s="10">
        <f t="shared" si="3"/>
        <v>120.38478400000002</v>
      </c>
      <c r="L5" s="17">
        <f t="shared" si="4"/>
        <v>0.63350503017606996</v>
      </c>
      <c r="M5" s="17">
        <f t="shared" si="5"/>
        <v>0.66508132603764758</v>
      </c>
      <c r="N5" s="17">
        <f t="shared" si="6"/>
        <v>0.45309575912581823</v>
      </c>
      <c r="O5" s="17">
        <f t="shared" si="7"/>
        <v>0.47253157421626185</v>
      </c>
    </row>
    <row r="6" spans="1:15" x14ac:dyDescent="0.3">
      <c r="B6" s="4">
        <v>8</v>
      </c>
      <c r="C6" s="4">
        <v>0.67</v>
      </c>
      <c r="D6" s="4">
        <v>0.92800000000000005</v>
      </c>
      <c r="E6" s="4">
        <v>10.199999999999999</v>
      </c>
      <c r="G6" s="10">
        <f t="shared" si="0"/>
        <v>17.774656000000025</v>
      </c>
      <c r="H6" s="10">
        <f t="shared" si="1"/>
        <v>4.2600960000000104E-2</v>
      </c>
      <c r="I6" s="10">
        <f t="shared" si="2"/>
        <v>1.7879366559999991E-3</v>
      </c>
      <c r="J6" s="10">
        <f t="shared" si="3"/>
        <v>5.4195839999999968</v>
      </c>
      <c r="L6" s="17">
        <f t="shared" si="4"/>
        <v>-0.15189133344075939</v>
      </c>
      <c r="M6" s="17">
        <f t="shared" si="5"/>
        <v>-0.11899513323003699</v>
      </c>
      <c r="N6" s="17">
        <f t="shared" si="6"/>
        <v>-9.8393049769284965E-2</v>
      </c>
      <c r="O6" s="17">
        <f t="shared" si="7"/>
        <v>-0.10026007152528776</v>
      </c>
    </row>
    <row r="7" spans="1:15" x14ac:dyDescent="0.3">
      <c r="B7" s="4">
        <v>4.0999999999999996</v>
      </c>
      <c r="C7" s="4">
        <v>0.4</v>
      </c>
      <c r="D7" s="4">
        <v>0.94620000000000004</v>
      </c>
      <c r="E7" s="4">
        <v>5.4</v>
      </c>
      <c r="G7" s="10">
        <f t="shared" si="0"/>
        <v>65.869456000000056</v>
      </c>
      <c r="H7" s="10">
        <f t="shared" si="1"/>
        <v>0.22695696000000026</v>
      </c>
      <c r="I7" s="10">
        <f t="shared" si="2"/>
        <v>5.8003905599999974E-4</v>
      </c>
      <c r="J7" s="10">
        <f t="shared" si="3"/>
        <v>50.808383999999975</v>
      </c>
      <c r="L7" s="17">
        <f t="shared" si="4"/>
        <v>-0.29239802234468759</v>
      </c>
      <c r="M7" s="17">
        <f t="shared" si="5"/>
        <v>-0.27465737146700381</v>
      </c>
      <c r="N7" s="17">
        <f t="shared" si="6"/>
        <v>-5.604243237734035E-2</v>
      </c>
      <c r="O7" s="17">
        <f t="shared" si="7"/>
        <v>-0.30698186848464398</v>
      </c>
    </row>
    <row r="8" spans="1:15" x14ac:dyDescent="0.3">
      <c r="B8" s="4">
        <v>15</v>
      </c>
      <c r="C8" s="4">
        <v>1.04</v>
      </c>
      <c r="D8" s="4">
        <v>0.88849999999999996</v>
      </c>
      <c r="E8" s="4">
        <v>15</v>
      </c>
      <c r="G8" s="10">
        <f t="shared" si="0"/>
        <v>7.7506559999999842</v>
      </c>
      <c r="H8" s="10">
        <f t="shared" si="1"/>
        <v>2.6764959999999918E-2</v>
      </c>
      <c r="I8" s="10">
        <f t="shared" si="2"/>
        <v>6.688622656000013E-3</v>
      </c>
      <c r="J8" s="10">
        <f t="shared" si="3"/>
        <v>6.1107840000000069</v>
      </c>
      <c r="L8" s="17">
        <f t="shared" si="4"/>
        <v>0.1003001594637271</v>
      </c>
      <c r="M8" s="17">
        <f t="shared" si="5"/>
        <v>9.4319785835436043E-2</v>
      </c>
      <c r="N8" s="17">
        <f t="shared" si="6"/>
        <v>-0.19030785125180236</v>
      </c>
      <c r="O8" s="17">
        <f t="shared" si="7"/>
        <v>0.10646172543406854</v>
      </c>
    </row>
    <row r="9" spans="1:15" x14ac:dyDescent="0.3">
      <c r="B9" s="4">
        <v>8.8000000000000007</v>
      </c>
      <c r="C9" s="4">
        <v>0.76</v>
      </c>
      <c r="D9" s="4">
        <v>1.0266999999999999</v>
      </c>
      <c r="E9" s="4">
        <v>9</v>
      </c>
      <c r="G9" s="10">
        <f t="shared" si="0"/>
        <v>11.669056000000015</v>
      </c>
      <c r="H9" s="10">
        <f t="shared" si="1"/>
        <v>1.3548960000000065E-2</v>
      </c>
      <c r="I9" s="10">
        <f t="shared" si="2"/>
        <v>3.18276505599999E-3</v>
      </c>
      <c r="J9" s="10">
        <f t="shared" si="3"/>
        <v>12.44678399999999</v>
      </c>
      <c r="L9" s="17">
        <f t="shared" si="4"/>
        <v>-0.12306944853738948</v>
      </c>
      <c r="M9" s="17">
        <f t="shared" si="5"/>
        <v>-6.7107720484381406E-2</v>
      </c>
      <c r="N9" s="17">
        <f t="shared" si="6"/>
        <v>0.13127760608702993</v>
      </c>
      <c r="O9" s="17">
        <f t="shared" si="7"/>
        <v>-0.15194052076512679</v>
      </c>
    </row>
    <row r="10" spans="1:15" x14ac:dyDescent="0.3">
      <c r="B10" s="4">
        <v>12.4</v>
      </c>
      <c r="C10" s="4">
        <v>0.95</v>
      </c>
      <c r="D10" s="4">
        <v>0.92249999999999999</v>
      </c>
      <c r="E10" s="4">
        <v>12.3</v>
      </c>
      <c r="G10" s="10">
        <f t="shared" si="0"/>
        <v>3.3855999999999081E-2</v>
      </c>
      <c r="H10" s="10">
        <f t="shared" si="1"/>
        <v>5.4169599999999507E-3</v>
      </c>
      <c r="I10" s="10">
        <f t="shared" si="2"/>
        <v>2.2833106560000045E-3</v>
      </c>
      <c r="J10" s="10">
        <f t="shared" si="3"/>
        <v>5.198399999999908E-2</v>
      </c>
      <c r="L10" s="17">
        <f t="shared" si="4"/>
        <v>6.6290335277749829E-3</v>
      </c>
      <c r="M10" s="17">
        <f t="shared" si="5"/>
        <v>4.2432373089780394E-2</v>
      </c>
      <c r="N10" s="17">
        <f t="shared" si="6"/>
        <v>-0.11119131326685078</v>
      </c>
      <c r="O10" s="17">
        <f t="shared" si="7"/>
        <v>-9.8192853555693349E-3</v>
      </c>
    </row>
    <row r="11" spans="1:15" x14ac:dyDescent="0.3">
      <c r="B11" s="4">
        <v>16.600000000000001</v>
      </c>
      <c r="C11" s="4">
        <v>1.1200000000000001</v>
      </c>
      <c r="D11" s="4">
        <v>0.93720000000000003</v>
      </c>
      <c r="E11" s="4">
        <v>16.3</v>
      </c>
      <c r="G11" s="10">
        <f t="shared" si="0"/>
        <v>19.219455999999987</v>
      </c>
      <c r="H11" s="10">
        <f t="shared" si="1"/>
        <v>5.9340959999999908E-2</v>
      </c>
      <c r="I11" s="10">
        <f t="shared" si="2"/>
        <v>1.0945510560000002E-3</v>
      </c>
      <c r="J11" s="10">
        <f t="shared" si="3"/>
        <v>14.227984000000015</v>
      </c>
      <c r="L11" s="17">
        <f t="shared" si="4"/>
        <v>0.15794392927046691</v>
      </c>
      <c r="M11" s="17">
        <f t="shared" si="5"/>
        <v>0.14044193049824108</v>
      </c>
      <c r="N11" s="17">
        <f t="shared" si="6"/>
        <v>-7.6985045373356945E-2</v>
      </c>
      <c r="O11" s="17">
        <f t="shared" si="7"/>
        <v>0.16244887877722755</v>
      </c>
    </row>
    <row r="12" spans="1:15" x14ac:dyDescent="0.3">
      <c r="B12" s="4">
        <v>14.9</v>
      </c>
      <c r="C12" s="4">
        <v>1.02</v>
      </c>
      <c r="D12" s="4">
        <v>0.88580000000000003</v>
      </c>
      <c r="E12" s="4">
        <v>15.4</v>
      </c>
      <c r="G12" s="10">
        <f t="shared" si="0"/>
        <v>7.2038559999999867</v>
      </c>
      <c r="H12" s="10">
        <f t="shared" si="1"/>
        <v>2.0620959999999921E-2</v>
      </c>
      <c r="I12" s="10">
        <f t="shared" si="2"/>
        <v>7.1375462560000005E-3</v>
      </c>
      <c r="J12" s="10">
        <f t="shared" si="3"/>
        <v>8.2483840000000104</v>
      </c>
      <c r="L12" s="17">
        <f t="shared" si="4"/>
        <v>9.6697423850805875E-2</v>
      </c>
      <c r="M12" s="17">
        <f t="shared" si="5"/>
        <v>8.2789249669734791E-2</v>
      </c>
      <c r="N12" s="17">
        <f t="shared" si="6"/>
        <v>-0.19659063515060718</v>
      </c>
      <c r="O12" s="17">
        <f t="shared" si="7"/>
        <v>0.12368854184734825</v>
      </c>
    </row>
    <row r="13" spans="1:15" x14ac:dyDescent="0.3">
      <c r="B13" s="4">
        <v>13.7</v>
      </c>
      <c r="C13" s="4">
        <v>1.01</v>
      </c>
      <c r="D13" s="4">
        <v>0.96430000000000005</v>
      </c>
      <c r="E13" s="4">
        <v>13</v>
      </c>
      <c r="G13" s="10">
        <f t="shared" si="0"/>
        <v>2.2022559999999896</v>
      </c>
      <c r="H13" s="10">
        <f t="shared" si="1"/>
        <v>1.7848959999999924E-2</v>
      </c>
      <c r="I13" s="10">
        <f t="shared" si="2"/>
        <v>3.5808255999999872E-5</v>
      </c>
      <c r="J13" s="10">
        <f t="shared" si="3"/>
        <v>0.22278400000000123</v>
      </c>
      <c r="L13" s="17">
        <f t="shared" si="4"/>
        <v>5.3464596495751006E-2</v>
      </c>
      <c r="M13" s="17">
        <f t="shared" si="5"/>
        <v>7.7023981586884158E-2</v>
      </c>
      <c r="N13" s="17">
        <f t="shared" si="6"/>
        <v>-1.392451068535144E-2</v>
      </c>
      <c r="O13" s="17">
        <f t="shared" si="7"/>
        <v>2.0327643367670088E-2</v>
      </c>
    </row>
    <row r="14" spans="1:15" x14ac:dyDescent="0.3">
      <c r="B14" s="4">
        <v>15.1</v>
      </c>
      <c r="C14" s="4">
        <v>0.9</v>
      </c>
      <c r="D14" s="4">
        <v>0.93159999999999998</v>
      </c>
      <c r="E14" s="4">
        <v>14.4</v>
      </c>
      <c r="G14" s="10">
        <f t="shared" si="0"/>
        <v>8.3174559999999822</v>
      </c>
      <c r="H14" s="10">
        <f t="shared" si="1"/>
        <v>5.5695999999998732E-4</v>
      </c>
      <c r="I14" s="10">
        <f t="shared" si="2"/>
        <v>1.4964518560000039E-3</v>
      </c>
      <c r="J14" s="10">
        <f t="shared" si="3"/>
        <v>3.5043840000000062</v>
      </c>
      <c r="L14" s="17">
        <f t="shared" si="4"/>
        <v>0.10390289507664831</v>
      </c>
      <c r="M14" s="17">
        <f t="shared" si="5"/>
        <v>1.3606032675527315E-2</v>
      </c>
      <c r="N14" s="17">
        <f t="shared" si="6"/>
        <v>-9.001600457087848E-2</v>
      </c>
      <c r="O14" s="17">
        <f t="shared" si="7"/>
        <v>8.0621500814149011E-2</v>
      </c>
    </row>
    <row r="15" spans="1:15" x14ac:dyDescent="0.3">
      <c r="B15" s="4">
        <v>7.8</v>
      </c>
      <c r="C15" s="4">
        <v>0.56999999999999995</v>
      </c>
      <c r="D15" s="4">
        <v>0.97050000000000003</v>
      </c>
      <c r="E15" s="4">
        <v>10</v>
      </c>
      <c r="G15" s="10">
        <f t="shared" si="0"/>
        <v>19.501056000000027</v>
      </c>
      <c r="H15" s="10">
        <f t="shared" si="1"/>
        <v>9.3880960000000208E-2</v>
      </c>
      <c r="I15" s="10">
        <f t="shared" si="2"/>
        <v>4.6655999999997397E-8</v>
      </c>
      <c r="J15" s="10">
        <f t="shared" si="3"/>
        <v>6.3907839999999938</v>
      </c>
      <c r="L15" s="17">
        <f t="shared" si="4"/>
        <v>-0.15909680466660187</v>
      </c>
      <c r="M15" s="17">
        <f t="shared" si="5"/>
        <v>-0.1766478140585433</v>
      </c>
      <c r="N15" s="17">
        <f t="shared" si="6"/>
        <v>5.0262271190438385E-4</v>
      </c>
      <c r="O15" s="17">
        <f t="shared" si="7"/>
        <v>-0.10887347973192758</v>
      </c>
    </row>
    <row r="16" spans="1:15" x14ac:dyDescent="0.3">
      <c r="B16" s="4">
        <v>11.4</v>
      </c>
      <c r="C16" s="4">
        <v>0.78</v>
      </c>
      <c r="D16" s="4">
        <v>1.1240000000000001</v>
      </c>
      <c r="E16" s="4">
        <v>10.199999999999999</v>
      </c>
      <c r="G16" s="10">
        <f t="shared" si="0"/>
        <v>0.66585600000000411</v>
      </c>
      <c r="H16" s="10">
        <f t="shared" si="1"/>
        <v>9.2929600000000515E-3</v>
      </c>
      <c r="I16" s="10">
        <f t="shared" si="2"/>
        <v>2.3628608656000024E-2</v>
      </c>
      <c r="J16" s="10">
        <f t="shared" si="3"/>
        <v>5.4195839999999968</v>
      </c>
      <c r="L16" s="17">
        <f t="shared" si="4"/>
        <v>-2.939832260143737E-2</v>
      </c>
      <c r="M16" s="17">
        <f t="shared" si="5"/>
        <v>-5.5577184318680153E-2</v>
      </c>
      <c r="N16" s="17">
        <f t="shared" si="6"/>
        <v>0.35769052214396507</v>
      </c>
      <c r="O16" s="17">
        <f t="shared" si="7"/>
        <v>-0.10026007152528776</v>
      </c>
    </row>
    <row r="17" spans="1:15" x14ac:dyDescent="0.3">
      <c r="B17" s="4">
        <v>9</v>
      </c>
      <c r="C17" s="4">
        <v>0.74</v>
      </c>
      <c r="D17" s="4">
        <v>0.85170000000000001</v>
      </c>
      <c r="E17" s="4">
        <v>9.5</v>
      </c>
      <c r="G17" s="10">
        <f t="shared" si="0"/>
        <v>10.342656000000018</v>
      </c>
      <c r="H17" s="10">
        <f t="shared" si="1"/>
        <v>1.860496000000008E-2</v>
      </c>
      <c r="I17" s="10">
        <f t="shared" si="2"/>
        <v>1.4062165056000005E-2</v>
      </c>
      <c r="J17" s="10">
        <f t="shared" si="3"/>
        <v>9.1687839999999916</v>
      </c>
      <c r="L17" s="17">
        <f t="shared" si="4"/>
        <v>-0.11586397731154705</v>
      </c>
      <c r="M17" s="17">
        <f t="shared" si="5"/>
        <v>-7.8638256650082658E-2</v>
      </c>
      <c r="N17" s="17">
        <f t="shared" si="6"/>
        <v>-0.27593986883551447</v>
      </c>
      <c r="O17" s="17">
        <f t="shared" si="7"/>
        <v>-0.13040700024852717</v>
      </c>
    </row>
    <row r="18" spans="1:15" x14ac:dyDescent="0.3">
      <c r="B18" s="4">
        <v>1</v>
      </c>
      <c r="C18" s="4">
        <v>0.13</v>
      </c>
      <c r="D18" s="4">
        <v>0.78510000000000002</v>
      </c>
      <c r="E18" s="4">
        <v>1.5</v>
      </c>
      <c r="G18" s="10">
        <f t="shared" si="0"/>
        <v>125.79865600000007</v>
      </c>
      <c r="H18" s="10">
        <f t="shared" si="1"/>
        <v>0.55711296000000043</v>
      </c>
      <c r="I18" s="10">
        <f t="shared" si="2"/>
        <v>3.4293113856000007E-2</v>
      </c>
      <c r="J18" s="10">
        <f t="shared" si="3"/>
        <v>121.61678399999997</v>
      </c>
      <c r="L18" s="17">
        <f t="shared" si="4"/>
        <v>-0.40408282634524589</v>
      </c>
      <c r="M18" s="17">
        <f t="shared" si="5"/>
        <v>-0.43031960970397065</v>
      </c>
      <c r="N18" s="17">
        <f t="shared" si="6"/>
        <v>-0.43091520500603714</v>
      </c>
      <c r="O18" s="17">
        <f t="shared" si="7"/>
        <v>-0.47494332851412097</v>
      </c>
    </row>
    <row r="19" spans="1:15" x14ac:dyDescent="0.3">
      <c r="B19" s="4">
        <v>17</v>
      </c>
      <c r="C19" s="4">
        <v>1.26</v>
      </c>
      <c r="D19" s="4">
        <v>0.91859999999999997</v>
      </c>
      <c r="E19" s="4">
        <v>18.5</v>
      </c>
      <c r="G19" s="10">
        <f t="shared" si="0"/>
        <v>22.886655999999974</v>
      </c>
      <c r="H19" s="10">
        <f t="shared" si="1"/>
        <v>0.14714895999999977</v>
      </c>
      <c r="I19" s="10">
        <f t="shared" si="2"/>
        <v>2.6712358560000067E-3</v>
      </c>
      <c r="J19" s="10">
        <f t="shared" si="3"/>
        <v>35.664784000000019</v>
      </c>
      <c r="L19" s="17">
        <f t="shared" si="4"/>
        <v>0.1723548717221518</v>
      </c>
      <c r="M19" s="17">
        <f t="shared" si="5"/>
        <v>0.22115568365814972</v>
      </c>
      <c r="N19" s="17">
        <f t="shared" si="6"/>
        <v>-0.12026644556512467</v>
      </c>
      <c r="O19" s="17">
        <f t="shared" si="7"/>
        <v>0.25719636905026583</v>
      </c>
    </row>
    <row r="20" spans="1:15" x14ac:dyDescent="0.3">
      <c r="B20" s="4">
        <v>12.8</v>
      </c>
      <c r="C20" s="4">
        <v>1.08</v>
      </c>
      <c r="D20" s="4">
        <v>1.0395000000000001</v>
      </c>
      <c r="E20" s="4">
        <v>12.6</v>
      </c>
      <c r="G20" s="10">
        <f t="shared" si="0"/>
        <v>0.34105599999999747</v>
      </c>
      <c r="H20" s="10">
        <f t="shared" si="1"/>
        <v>4.1452959999999914E-2</v>
      </c>
      <c r="I20" s="10">
        <f t="shared" si="2"/>
        <v>4.7908546560000076E-3</v>
      </c>
      <c r="J20" s="10">
        <f t="shared" si="3"/>
        <v>5.1840000000001373E-3</v>
      </c>
      <c r="L20" s="17">
        <f t="shared" si="4"/>
        <v>2.1039975979459939E-2</v>
      </c>
      <c r="M20" s="17">
        <f t="shared" si="5"/>
        <v>0.11738085816683855</v>
      </c>
      <c r="N20" s="17">
        <f t="shared" si="6"/>
        <v>0.16106265568136496</v>
      </c>
      <c r="O20" s="17">
        <f t="shared" si="7"/>
        <v>3.100826954390385E-3</v>
      </c>
    </row>
    <row r="21" spans="1:15" x14ac:dyDescent="0.3">
      <c r="B21" s="4">
        <v>15.8</v>
      </c>
      <c r="C21" s="4">
        <v>0.96</v>
      </c>
      <c r="D21" s="4">
        <v>0.95730000000000004</v>
      </c>
      <c r="E21" s="4">
        <v>17.5</v>
      </c>
      <c r="G21" s="10">
        <f t="shared" si="0"/>
        <v>12.845055999999985</v>
      </c>
      <c r="H21" s="10">
        <f t="shared" si="1"/>
        <v>6.988959999999946E-3</v>
      </c>
      <c r="I21" s="10">
        <f t="shared" si="2"/>
        <v>1.685842559999999E-4</v>
      </c>
      <c r="J21" s="10">
        <f t="shared" si="3"/>
        <v>24.720784000000013</v>
      </c>
      <c r="L21" s="17">
        <f t="shared" si="4"/>
        <v>0.12912204436709701</v>
      </c>
      <c r="M21" s="17">
        <f t="shared" si="5"/>
        <v>4.819764117263102E-2</v>
      </c>
      <c r="N21" s="17">
        <f t="shared" si="6"/>
        <v>-3.0213209682253238E-2</v>
      </c>
      <c r="O21" s="17">
        <f t="shared" si="7"/>
        <v>0.21412932801706658</v>
      </c>
    </row>
    <row r="22" spans="1:15" x14ac:dyDescent="0.3">
      <c r="B22" s="4">
        <v>4.5</v>
      </c>
      <c r="C22" s="4">
        <v>0.42</v>
      </c>
      <c r="D22" s="4">
        <v>0.91059999999999997</v>
      </c>
      <c r="E22" s="4">
        <v>4.9000000000000004</v>
      </c>
      <c r="G22" s="10">
        <f t="shared" si="0"/>
        <v>59.536656000000043</v>
      </c>
      <c r="H22" s="10">
        <f t="shared" si="1"/>
        <v>0.20830096000000028</v>
      </c>
      <c r="I22" s="10">
        <f t="shared" si="2"/>
        <v>3.5621798560000082E-3</v>
      </c>
      <c r="J22" s="10">
        <f t="shared" si="3"/>
        <v>58.186383999999975</v>
      </c>
      <c r="L22" s="17">
        <f t="shared" si="4"/>
        <v>-0.27798707989300264</v>
      </c>
      <c r="M22" s="17">
        <f t="shared" si="5"/>
        <v>-0.2631268353013026</v>
      </c>
      <c r="N22" s="17">
        <f t="shared" si="6"/>
        <v>-0.13888210156158387</v>
      </c>
      <c r="O22" s="17">
        <f t="shared" si="7"/>
        <v>-0.32851538900124361</v>
      </c>
    </row>
    <row r="23" spans="1:15" x14ac:dyDescent="0.3">
      <c r="B23" s="4">
        <v>14.5</v>
      </c>
      <c r="C23" s="4">
        <v>1.01</v>
      </c>
      <c r="D23" s="4">
        <v>1.0069999999999999</v>
      </c>
      <c r="E23" s="4">
        <v>15.9</v>
      </c>
      <c r="G23" s="10">
        <f t="shared" si="0"/>
        <v>5.2166559999999871</v>
      </c>
      <c r="H23" s="10">
        <f t="shared" si="1"/>
        <v>1.7848959999999924E-2</v>
      </c>
      <c r="I23" s="10">
        <f t="shared" si="2"/>
        <v>1.3480646559999897E-3</v>
      </c>
      <c r="J23" s="10">
        <f t="shared" si="3"/>
        <v>11.370384000000012</v>
      </c>
      <c r="L23" s="17">
        <f t="shared" si="4"/>
        <v>8.2286481399120912E-2</v>
      </c>
      <c r="M23" s="17">
        <f t="shared" si="5"/>
        <v>7.7023981586884158E-2</v>
      </c>
      <c r="N23" s="17">
        <f t="shared" si="6"/>
        <v>8.5436553195749068E-2</v>
      </c>
      <c r="O23" s="17">
        <f t="shared" si="7"/>
        <v>0.14522206236394783</v>
      </c>
    </row>
    <row r="24" spans="1:15" x14ac:dyDescent="0.3">
      <c r="B24" s="4">
        <v>7.3</v>
      </c>
      <c r="C24" s="4">
        <v>0.61</v>
      </c>
      <c r="D24" s="4">
        <v>0.98060000000000003</v>
      </c>
      <c r="E24" s="4">
        <v>8.5</v>
      </c>
      <c r="G24" s="10">
        <f t="shared" si="0"/>
        <v>24.167056000000031</v>
      </c>
      <c r="H24" s="10">
        <f t="shared" si="1"/>
        <v>7.0968960000000164E-2</v>
      </c>
      <c r="I24" s="10">
        <f t="shared" si="2"/>
        <v>1.0641985599999983E-4</v>
      </c>
      <c r="J24" s="10">
        <f t="shared" si="3"/>
        <v>16.224783999999989</v>
      </c>
      <c r="L24" s="17">
        <f t="shared" si="4"/>
        <v>-0.17711048273120805</v>
      </c>
      <c r="M24" s="17">
        <f t="shared" si="5"/>
        <v>-0.15358674172714079</v>
      </c>
      <c r="N24" s="17">
        <f t="shared" si="6"/>
        <v>2.4004888407434092E-2</v>
      </c>
      <c r="O24" s="17">
        <f t="shared" si="7"/>
        <v>-0.17347404128172639</v>
      </c>
    </row>
    <row r="25" spans="1:15" x14ac:dyDescent="0.3">
      <c r="B25" s="4">
        <v>8.6</v>
      </c>
      <c r="C25" s="4">
        <v>0.69</v>
      </c>
      <c r="D25" s="4">
        <v>0.96930000000000005</v>
      </c>
      <c r="E25" s="4">
        <v>10.6</v>
      </c>
      <c r="G25" s="10">
        <f t="shared" si="0"/>
        <v>13.075456000000024</v>
      </c>
      <c r="H25" s="10">
        <f t="shared" si="1"/>
        <v>3.474496000000013E-2</v>
      </c>
      <c r="I25" s="10">
        <f t="shared" si="2"/>
        <v>9.6825599999997031E-7</v>
      </c>
      <c r="J25" s="10">
        <f t="shared" si="3"/>
        <v>3.7171839999999965</v>
      </c>
      <c r="L25" s="17">
        <f t="shared" si="4"/>
        <v>-0.13027491976323199</v>
      </c>
      <c r="M25" s="17">
        <f t="shared" si="5"/>
        <v>-0.10746459706433581</v>
      </c>
      <c r="N25" s="17">
        <f t="shared" si="6"/>
        <v>-2.2897256875644436E-3</v>
      </c>
      <c r="O25" s="17">
        <f t="shared" si="7"/>
        <v>-8.3033255112008056E-2</v>
      </c>
    </row>
    <row r="26" spans="1:15" x14ac:dyDescent="0.3">
      <c r="B26" s="4">
        <v>15.2</v>
      </c>
      <c r="C26" s="4">
        <v>1.02</v>
      </c>
      <c r="D26" s="4">
        <v>0.9496</v>
      </c>
      <c r="E26" s="4">
        <v>13.9</v>
      </c>
      <c r="G26" s="10">
        <f t="shared" si="0"/>
        <v>8.9042559999999789</v>
      </c>
      <c r="H26" s="10">
        <f t="shared" si="1"/>
        <v>2.0620959999999921E-2</v>
      </c>
      <c r="I26" s="10">
        <f t="shared" si="2"/>
        <v>4.2782785600000149E-4</v>
      </c>
      <c r="J26" s="10">
        <f t="shared" si="3"/>
        <v>1.8823840000000045</v>
      </c>
      <c r="L26" s="17">
        <f t="shared" si="4"/>
        <v>0.10750563068956953</v>
      </c>
      <c r="M26" s="17">
        <f t="shared" si="5"/>
        <v>8.2789249669734791E-2</v>
      </c>
      <c r="N26" s="17">
        <f t="shared" si="6"/>
        <v>-4.813077857884529E-2</v>
      </c>
      <c r="O26" s="17">
        <f t="shared" si="7"/>
        <v>5.9087980297549407E-2</v>
      </c>
    </row>
    <row r="27" spans="1:15" x14ac:dyDescent="0.3">
      <c r="B27" s="5">
        <v>12</v>
      </c>
      <c r="C27" s="5">
        <v>0.82</v>
      </c>
      <c r="D27" s="5">
        <v>1.1184000000000001</v>
      </c>
      <c r="E27" s="5">
        <v>14.9</v>
      </c>
      <c r="G27" s="11">
        <f t="shared" si="0"/>
        <v>4.6656000000001231E-2</v>
      </c>
      <c r="H27" s="11">
        <f t="shared" si="1"/>
        <v>3.1809600000000382E-3</v>
      </c>
      <c r="I27" s="11">
        <f t="shared" si="2"/>
        <v>2.1938349456000008E-2</v>
      </c>
      <c r="J27" s="11">
        <f t="shared" si="3"/>
        <v>5.6263840000000078</v>
      </c>
      <c r="L27" s="18">
        <f t="shared" si="4"/>
        <v>-7.7819089239099717E-3</v>
      </c>
      <c r="M27" s="18">
        <f t="shared" si="5"/>
        <v>-3.2516111987277711E-2</v>
      </c>
      <c r="N27" s="18">
        <f t="shared" si="6"/>
        <v>0.34465956294644351</v>
      </c>
      <c r="O27" s="18">
        <f t="shared" si="7"/>
        <v>0.10215502133074862</v>
      </c>
    </row>
    <row r="28" spans="1:15" x14ac:dyDescent="0.3">
      <c r="A28" s="7" t="s">
        <v>4</v>
      </c>
      <c r="B28" s="6">
        <f>SUM(B3:B27)</f>
        <v>305.40000000000009</v>
      </c>
      <c r="C28" s="6">
        <f>SUM(C3:C27)</f>
        <v>21.910000000000007</v>
      </c>
      <c r="D28">
        <f>SUM(D3:D27)</f>
        <v>24.257100000000001</v>
      </c>
      <c r="E28">
        <f>SUM(E3:E27)</f>
        <v>313.2</v>
      </c>
      <c r="F28" s="7" t="s">
        <v>4</v>
      </c>
      <c r="G28" s="12">
        <f>SUM(G3:G27)</f>
        <v>770.43359999999996</v>
      </c>
      <c r="H28" s="12">
        <f t="shared" ref="H28:J28" si="8">SUM(H3:H27)</f>
        <v>3.0085760000000001</v>
      </c>
      <c r="I28" s="12">
        <f t="shared" si="8"/>
        <v>0.1846814536000001</v>
      </c>
      <c r="J28" s="12">
        <f t="shared" si="8"/>
        <v>539.15039999999988</v>
      </c>
    </row>
    <row r="29" spans="1:15" ht="28.8" x14ac:dyDescent="0.3">
      <c r="A29" s="7" t="s">
        <v>5</v>
      </c>
      <c r="B29">
        <f>B28/$B$30</f>
        <v>12.216000000000003</v>
      </c>
      <c r="C29">
        <f>C28/$B$30</f>
        <v>0.87640000000000029</v>
      </c>
      <c r="D29">
        <f>D28/$B$30</f>
        <v>0.97028400000000004</v>
      </c>
      <c r="E29">
        <f>E28/$B$30</f>
        <v>12.527999999999999</v>
      </c>
      <c r="F29" s="13" t="s">
        <v>7</v>
      </c>
      <c r="G29" s="12">
        <f>SQRT((1/($B$30-1))*G28)</f>
        <v>5.6658097391282034</v>
      </c>
      <c r="H29" s="12">
        <f t="shared" ref="H29:J29" si="9">SQRT((1/($B$30-1))*H28)</f>
        <v>0.35405837560116171</v>
      </c>
      <c r="I29" s="12">
        <f t="shared" si="9"/>
        <v>8.772149432531727E-2</v>
      </c>
      <c r="J29" s="12">
        <f t="shared" si="9"/>
        <v>4.7396835337393561</v>
      </c>
    </row>
    <row r="30" spans="1:15" x14ac:dyDescent="0.3">
      <c r="A30" s="8" t="s">
        <v>6</v>
      </c>
      <c r="B30" s="7">
        <f>COUNT(B3:B27)</f>
        <v>25</v>
      </c>
    </row>
    <row r="32" spans="1:15" ht="28.8" x14ac:dyDescent="0.55000000000000004">
      <c r="A32" s="20" t="s">
        <v>17</v>
      </c>
      <c r="B32" s="20"/>
      <c r="C32" s="20"/>
      <c r="D32" s="20"/>
      <c r="E32" s="20"/>
    </row>
    <row r="33" spans="2:32" ht="26.4" x14ac:dyDescent="0.3">
      <c r="B33" s="1" t="s">
        <v>18</v>
      </c>
      <c r="C33" s="1" t="s">
        <v>19</v>
      </c>
      <c r="D33" s="2" t="s">
        <v>20</v>
      </c>
      <c r="F33" s="1" t="s">
        <v>21</v>
      </c>
      <c r="G33" s="22"/>
      <c r="H33" s="1" t="s">
        <v>22</v>
      </c>
    </row>
    <row r="34" spans="2:32" x14ac:dyDescent="0.3">
      <c r="B34" s="21">
        <v>6.7875538999999999E-2</v>
      </c>
      <c r="C34" s="21">
        <v>-9.4550399999999996E-3</v>
      </c>
      <c r="D34" s="21">
        <v>3.4941585999999997E-2</v>
      </c>
      <c r="F34" s="21">
        <v>4.6167868000000001E-2</v>
      </c>
      <c r="H34" s="21">
        <v>6.7875538999999999E-2</v>
      </c>
      <c r="I34" s="21">
        <v>0.13632751600000001</v>
      </c>
      <c r="J34" s="21">
        <v>0.63350503000000002</v>
      </c>
      <c r="K34" s="21">
        <v>-0.15189133299999999</v>
      </c>
      <c r="L34" s="21">
        <v>-0.29239802199999998</v>
      </c>
      <c r="M34" s="21">
        <v>0.100300159</v>
      </c>
      <c r="N34" s="21">
        <v>-0.123069449</v>
      </c>
      <c r="O34" s="21">
        <v>6.6290339999999998E-3</v>
      </c>
      <c r="P34" s="21">
        <v>0.15794392900000001</v>
      </c>
      <c r="Q34" s="21">
        <v>9.6697424000000004E-2</v>
      </c>
      <c r="R34" s="21">
        <v>5.3464596000000003E-2</v>
      </c>
      <c r="S34" s="21">
        <v>0.103902895</v>
      </c>
      <c r="T34" s="21">
        <v>-0.15909680500000001</v>
      </c>
      <c r="U34" s="21">
        <v>-2.9398323000000001E-2</v>
      </c>
      <c r="V34" s="21">
        <v>-0.11586397700000001</v>
      </c>
      <c r="W34" s="21">
        <v>-0.40408282600000001</v>
      </c>
      <c r="X34" s="21">
        <v>0.17235487199999999</v>
      </c>
      <c r="Y34" s="21">
        <v>2.1039975999999998E-2</v>
      </c>
      <c r="Z34" s="21">
        <v>0.12912204399999999</v>
      </c>
      <c r="AA34" s="21">
        <v>-0.27798708</v>
      </c>
      <c r="AB34" s="21">
        <v>8.2286480999999995E-2</v>
      </c>
      <c r="AC34" s="21">
        <v>-0.17711048300000001</v>
      </c>
      <c r="AD34" s="21">
        <v>-0.13027491999999999</v>
      </c>
      <c r="AE34" s="21">
        <v>0.107505631</v>
      </c>
      <c r="AF34" s="21">
        <v>-7.781909E-3</v>
      </c>
    </row>
    <row r="35" spans="2:32" x14ac:dyDescent="0.3">
      <c r="B35" s="21">
        <v>0.13632751600000001</v>
      </c>
      <c r="C35" s="21">
        <v>0.105850322</v>
      </c>
      <c r="D35" s="21">
        <v>0.28741642099999998</v>
      </c>
      <c r="F35" s="21">
        <v>0.175368991</v>
      </c>
      <c r="H35" s="21">
        <v>-9.4550399999999996E-3</v>
      </c>
      <c r="I35" s="21">
        <v>0.105850322</v>
      </c>
      <c r="J35" s="21">
        <v>0.66508132600000003</v>
      </c>
      <c r="K35" s="21">
        <v>-0.118995133</v>
      </c>
      <c r="L35" s="21">
        <v>-0.27465737099999998</v>
      </c>
      <c r="M35" s="21">
        <v>9.4319786000000003E-2</v>
      </c>
      <c r="N35" s="21">
        <v>-6.7107719999999996E-2</v>
      </c>
      <c r="O35" s="21">
        <v>4.2432373000000002E-2</v>
      </c>
      <c r="P35" s="21">
        <v>0.14044192999999999</v>
      </c>
      <c r="Q35" s="21">
        <v>8.2789249999999995E-2</v>
      </c>
      <c r="R35" s="21">
        <v>7.7023982000000005E-2</v>
      </c>
      <c r="S35" s="21">
        <v>1.3606033E-2</v>
      </c>
      <c r="T35" s="21">
        <v>-0.17664781399999999</v>
      </c>
      <c r="U35" s="21">
        <v>-5.5577184000000002E-2</v>
      </c>
      <c r="V35" s="21">
        <v>-7.8638257000000003E-2</v>
      </c>
      <c r="W35" s="21">
        <v>-0.43031961000000002</v>
      </c>
      <c r="X35" s="21">
        <v>0.22115568399999999</v>
      </c>
      <c r="Y35" s="21">
        <v>0.117380858</v>
      </c>
      <c r="Z35" s="21">
        <v>4.8197640999999999E-2</v>
      </c>
      <c r="AA35" s="21">
        <v>-0.263126835</v>
      </c>
      <c r="AB35" s="21">
        <v>7.7023982000000005E-2</v>
      </c>
      <c r="AC35" s="21">
        <v>-0.153586742</v>
      </c>
      <c r="AD35" s="21">
        <v>-0.107464597</v>
      </c>
      <c r="AE35" s="21">
        <v>8.2789249999999995E-2</v>
      </c>
      <c r="AF35" s="21">
        <v>-3.2516112E-2</v>
      </c>
    </row>
    <row r="36" spans="2:32" x14ac:dyDescent="0.3">
      <c r="B36" s="21">
        <v>0.63350503000000002</v>
      </c>
      <c r="C36" s="21">
        <v>0.66508132600000003</v>
      </c>
      <c r="D36" s="21">
        <v>0.45309575899999999</v>
      </c>
      <c r="F36" s="21">
        <v>0.47253157400000001</v>
      </c>
      <c r="H36" s="21">
        <v>3.4941585999999997E-2</v>
      </c>
      <c r="I36" s="21">
        <v>0.28741642099999998</v>
      </c>
      <c r="J36" s="21">
        <v>0.45309575899999999</v>
      </c>
      <c r="K36" s="21">
        <v>-9.8393049999999996E-2</v>
      </c>
      <c r="L36" s="21">
        <v>-5.6042432000000003E-2</v>
      </c>
      <c r="M36" s="21">
        <v>-0.190307851</v>
      </c>
      <c r="N36" s="21">
        <v>0.13127760599999999</v>
      </c>
      <c r="O36" s="21">
        <v>-0.111191313</v>
      </c>
      <c r="P36" s="21">
        <v>-7.6985045000000002E-2</v>
      </c>
      <c r="Q36" s="21">
        <v>-0.19659063500000001</v>
      </c>
      <c r="R36" s="21">
        <v>-1.3924511000000001E-2</v>
      </c>
      <c r="S36" s="21">
        <v>-9.0016004999999996E-2</v>
      </c>
      <c r="T36" s="21">
        <v>5.02623E-4</v>
      </c>
      <c r="U36" s="21">
        <v>0.35769052200000001</v>
      </c>
      <c r="V36" s="21">
        <v>-0.275939869</v>
      </c>
      <c r="W36" s="21">
        <v>-0.43091520500000002</v>
      </c>
      <c r="X36" s="21">
        <v>-0.120266446</v>
      </c>
      <c r="Y36" s="21">
        <v>0.161062656</v>
      </c>
      <c r="Z36" s="21">
        <v>-3.0213210000000001E-2</v>
      </c>
      <c r="AA36" s="21">
        <v>-0.13888210200000001</v>
      </c>
      <c r="AB36" s="21">
        <v>8.5436552999999998E-2</v>
      </c>
      <c r="AC36" s="21">
        <v>2.4004887999999999E-2</v>
      </c>
      <c r="AD36" s="21">
        <v>-2.2897260000000002E-3</v>
      </c>
      <c r="AE36" s="21">
        <v>-4.8130778999999999E-2</v>
      </c>
      <c r="AF36" s="21">
        <v>0.344659563</v>
      </c>
    </row>
    <row r="37" spans="2:32" x14ac:dyDescent="0.3">
      <c r="B37" s="21">
        <v>-0.15189133299999999</v>
      </c>
      <c r="C37" s="21">
        <v>-0.118995133</v>
      </c>
      <c r="D37" s="21">
        <v>-9.8393049999999996E-2</v>
      </c>
      <c r="F37" s="21">
        <v>-0.10026007200000001</v>
      </c>
    </row>
    <row r="38" spans="2:32" x14ac:dyDescent="0.3">
      <c r="B38" s="21">
        <v>-0.29239802199999998</v>
      </c>
      <c r="C38" s="21">
        <v>-0.27465737099999998</v>
      </c>
      <c r="D38" s="21">
        <v>-5.6042432000000003E-2</v>
      </c>
      <c r="F38" s="21">
        <v>-0.30698186799999999</v>
      </c>
      <c r="H38" s="1" t="s">
        <v>23</v>
      </c>
    </row>
    <row r="39" spans="2:32" x14ac:dyDescent="0.3">
      <c r="B39" s="21">
        <v>0.100300159</v>
      </c>
      <c r="C39" s="21">
        <v>9.4319786000000003E-2</v>
      </c>
      <c r="D39" s="21">
        <v>-0.190307851</v>
      </c>
      <c r="F39" s="21">
        <v>0.10646172499999999</v>
      </c>
      <c r="H39" s="21">
        <v>4.6167868000000001E-2</v>
      </c>
      <c r="I39" s="21">
        <v>0.175368991</v>
      </c>
      <c r="J39" s="21">
        <v>0.47253157400000001</v>
      </c>
      <c r="K39" s="21">
        <v>-0.10026007200000001</v>
      </c>
      <c r="L39" s="21">
        <v>-0.30698186799999999</v>
      </c>
      <c r="M39" s="21">
        <v>0.10646172499999999</v>
      </c>
      <c r="N39" s="21">
        <v>-0.151940521</v>
      </c>
      <c r="O39" s="21">
        <v>-9.8192850000000005E-3</v>
      </c>
      <c r="P39" s="21">
        <v>0.16244887899999999</v>
      </c>
      <c r="Q39" s="21">
        <v>0.123688542</v>
      </c>
      <c r="R39" s="21">
        <v>2.0327642999999999E-2</v>
      </c>
      <c r="S39" s="21">
        <v>8.0621500999999998E-2</v>
      </c>
      <c r="T39" s="21">
        <v>-0.10887347999999999</v>
      </c>
      <c r="U39" s="21">
        <v>-0.10026007200000001</v>
      </c>
      <c r="V39" s="21">
        <v>-0.130407</v>
      </c>
      <c r="W39" s="21">
        <v>-0.47494332900000003</v>
      </c>
      <c r="X39" s="21">
        <v>0.25719636899999998</v>
      </c>
      <c r="Y39" s="21">
        <v>3.100827E-3</v>
      </c>
      <c r="Z39" s="21">
        <v>0.21412932800000001</v>
      </c>
      <c r="AA39" s="21">
        <v>-0.32851538899999999</v>
      </c>
      <c r="AB39" s="21">
        <v>0.14522206200000001</v>
      </c>
      <c r="AC39" s="21">
        <v>-0.173474041</v>
      </c>
      <c r="AD39" s="21">
        <v>-8.3033255E-2</v>
      </c>
      <c r="AE39" s="21">
        <v>5.9087979999999998E-2</v>
      </c>
      <c r="AF39" s="21">
        <v>0.102155021</v>
      </c>
    </row>
    <row r="40" spans="2:32" x14ac:dyDescent="0.3">
      <c r="B40" s="21">
        <v>-0.123069449</v>
      </c>
      <c r="C40" s="21">
        <v>-6.7107719999999996E-2</v>
      </c>
      <c r="D40" s="21">
        <v>0.13127760599999999</v>
      </c>
      <c r="F40" s="21">
        <v>-0.151940521</v>
      </c>
    </row>
    <row r="41" spans="2:32" x14ac:dyDescent="0.3">
      <c r="B41" s="21">
        <v>6.6290339999999998E-3</v>
      </c>
      <c r="C41" s="21">
        <v>4.2432373000000002E-2</v>
      </c>
      <c r="D41" s="21">
        <v>-0.111191313</v>
      </c>
      <c r="F41" s="21">
        <v>-9.8192850000000005E-3</v>
      </c>
      <c r="H41" s="1" t="s">
        <v>24</v>
      </c>
    </row>
    <row r="42" spans="2:32" x14ac:dyDescent="0.3">
      <c r="B42" s="21">
        <v>0.15794392900000001</v>
      </c>
      <c r="C42" s="21">
        <v>0.14044192999999999</v>
      </c>
      <c r="D42" s="21">
        <v>-7.6985045000000002E-2</v>
      </c>
      <c r="F42" s="21">
        <v>0.16244887899999999</v>
      </c>
      <c r="H42" s="24">
        <f>($H$34*B34)+($I$34*B35)+($J$34*B36)+($K$34*B37)+($L$34*B38)+($M$34*B39)+($N$34*B40)+($O$34*B41)+($P$34*B42)+($Q$34*B43)+($R$34*B44)+($S$34*B45)+($T$34*B46)+($U$34*B47)+($V$34*B48)+($W$34*B49)+($X$34*B50)+($Y$34*B51)+($Z$34*B52)+($AA$34*B53)+($AB$34*B54)+($AC$34*B55)+($AD$34*B56)+($AE$34*B57)+($AF$34*B58)</f>
        <v>0.99999999945994</v>
      </c>
      <c r="I42" s="23">
        <f>($H$34*C34)+($I$34*C35)+($J$34*C36)+($K$34*C37)+($L$34*C38)+($M$34*C39)+($N$34*C40)+($O$34*C41)+($P$34*C42)+($Q$34*C43)+($R$34*C44)+($S$34*C45)+($T$34*C46)+($U$34*C47)+($V$34*C48)+($W$34*C49)+($X$34*C50)+($Y$34*C51)+($Z$34*C52)+($AA$34*C53)+($AB$34*C54)+($AC$34*C55)+($AD$34*C56)+($AE$34*C57)+($AF$34*C58)</f>
        <v>0.97660763418365748</v>
      </c>
      <c r="J42" s="23">
        <f>($H$34*D34)+($I$34*D35)+($J$34*D36)+($K$34*D37)+($L$34*D38)+($M$34*D39)+($N$34*D40)+($O$34*D41)+($P$34*D42)+($Q$34*D43)+($R$34*D44)+($S$34*D45)+($T$34*D46)+($U$34*D47)+($V$34*D48)+($W$34*D49)+($X$34*D50)+($Y$34*D51)+($Z$34*D52)+($AA$34*D53)+($AB$34*D54)+($AC$34*D55)+($AD$34*D56)+($AE$34*D57)+($AF$34*D58)</f>
        <v>0.49076540725659096</v>
      </c>
    </row>
    <row r="43" spans="2:32" x14ac:dyDescent="0.3">
      <c r="B43" s="21">
        <v>9.6697424000000004E-2</v>
      </c>
      <c r="C43" s="21">
        <v>8.2789249999999995E-2</v>
      </c>
      <c r="D43" s="21">
        <v>-0.19659063500000001</v>
      </c>
      <c r="F43" s="21">
        <v>0.123688542</v>
      </c>
      <c r="H43" s="23">
        <f>($H$35*B34)+($I$35*B35)+($J$35*B36)+($K$35*B37)+($L$35*B38)+($M$35*B39)+($N$35*B40)+($O$35*B41)+($P$35*B42)+($Q$35*B43)+($R$35*B44)+($S$35*B45)+($T$35*B46)+($U$35*B47)+($V$35*B48)+($W$35*B49)+($X$35*B50)+($Y$35*B51)+($Z$35*B52)+($AA$35*B53)+($AB$35*B54)+($AC$35*B55)+($AD$35*B56)+($AE$35*B57)+($AF$35*B58)</f>
        <v>0.97660763418365748</v>
      </c>
      <c r="I43" s="24">
        <f>($H$35*C34)+($I$35*C35)+($J$35*C36)+($K$35*C37)+($L$35*C38)+($M$35*C39)+($N$35*C40)+($O$35*C41)+($P$35*C42)+($Q$35*C43)+($R$35*C44)+($S$35*C45)+($T$35*C46)+($U$35*C47)+($V$35*C48)+($W$35*C49)+($X$35*C50)+($Y$35*C51)+($Z$35*C52)+($AA$35*C53)+($AB$35*C54)+($AC$35*C55)+($AD$35*C56)+($AE$35*C57)+($AF$35*C58)</f>
        <v>0.99999999997020605</v>
      </c>
      <c r="J43" s="23">
        <f>($H$35*D34)+($I$35*D35)+($J$35*D36)+($K$35*D37)+($L$35*D38)+($M$35*D39)+($N$35*D40)+($O$35*D41)+($P$35*D42)+($Q$35*D43)+($R$35*D44)+($S$35*D45)+($T$35*D46)+($U$35*D47)+($V$35*D48)+($W$35*D49)+($X$35*D50)+($Y$35*D51)+($Z$35*D52)+($AA$35*D53)+($AB$35*D54)+($AC$35*D55)+($AD$35*D56)+($AE$35*D57)+($AF$35*D58)</f>
        <v>0.5001827231161533</v>
      </c>
    </row>
    <row r="44" spans="2:32" x14ac:dyDescent="0.3">
      <c r="B44" s="21">
        <v>5.3464596000000003E-2</v>
      </c>
      <c r="C44" s="21">
        <v>7.7023982000000005E-2</v>
      </c>
      <c r="D44" s="21">
        <v>-1.3924511000000001E-2</v>
      </c>
      <c r="F44" s="21">
        <v>2.0327642999999999E-2</v>
      </c>
      <c r="H44">
        <f t="shared" ref="H44:I44" si="10">($H$36*B34)+($I$36*B35)+($J$36*B36)+($K$36*B37)+($L$36*B38)+($M$36*B39)+($N$36*B40)+($O$36*B41)+($P$36*B42)+($Q$36*B43)+($R$36*B44)+($S$36*B45)+($T$36*B46)+($U$36*B47)+($V$36*B48)+($W$36*B49)+($X$36*B50)+($Y$36*B51)+($Z$36*B52)+($AA$36*B53)+($AB$36*B54)+($AC$36*B55)+($AD$36*B56)+($AE$36*B57)+($AF$36*B58)</f>
        <v>0.49076540725659096</v>
      </c>
      <c r="I44">
        <f t="shared" si="10"/>
        <v>0.5001827231161533</v>
      </c>
      <c r="J44">
        <f>($H$36*D34)+($I$36*D35)+($J$36*D36)+($K$36*D37)+($L$36*D38)+($M$36*D39)+($N$36*D40)+($O$36*D41)+($P$36*D42)+($Q$36*D43)+($R$36*D44)+($S$36*D45)+($T$36*D46)+($U$36*D47)+($V$36*D48)+($W$36*D49)+($X$36*D50)+($Y$36*D51)+($Z$36*D52)+($AA$36*D53)+($AB$36*D54)+($AC$36*D55)+($AD$36*D56)+($AE$36*D57)+($AF$36*D58)</f>
        <v>1.0000000001555025</v>
      </c>
    </row>
    <row r="45" spans="2:32" x14ac:dyDescent="0.3">
      <c r="B45" s="21">
        <v>0.103902895</v>
      </c>
      <c r="C45" s="21">
        <v>1.3606033E-2</v>
      </c>
      <c r="D45" s="21">
        <v>-9.0016004999999996E-2</v>
      </c>
      <c r="F45" s="21">
        <v>8.0621500999999998E-2</v>
      </c>
    </row>
    <row r="46" spans="2:32" x14ac:dyDescent="0.3">
      <c r="B46" s="21">
        <v>-0.15909680500000001</v>
      </c>
      <c r="C46" s="21">
        <v>-0.17664781399999999</v>
      </c>
      <c r="D46" s="21">
        <v>5.02623E-4</v>
      </c>
      <c r="F46" s="21">
        <v>-0.10887347999999999</v>
      </c>
      <c r="H46" s="1" t="s">
        <v>25</v>
      </c>
    </row>
    <row r="47" spans="2:32" x14ac:dyDescent="0.3">
      <c r="B47" s="21">
        <v>-2.9398323000000001E-2</v>
      </c>
      <c r="C47" s="21">
        <v>-5.5577184000000002E-2</v>
      </c>
      <c r="D47" s="21">
        <v>0.35769052200000001</v>
      </c>
      <c r="F47" s="21">
        <v>-0.10026007200000001</v>
      </c>
      <c r="H47" s="25">
        <f>(H34*$F$34)+(I34*$F$35)+(J34*$F$36)+(K34*$F$37)+(L34*$F$38)+(M34*$F$39)+(N34*$F$40)+(O34*$F$41)+(P34*$F$42)+(Q34*$F$43)+(R34*$F$44)+(S34*$F$45)+(T34*$F$46)+(U34*$F$47)+(V34*$F$48)+(W34*$F$49)+(X34*$F$50)+(Y34*$F$51)+(Z34*$F$52)+(AA34*$F$53)+(AB34*$F$54)+(AC34*$F$55)+(AD34*$F$56)+(AE34*$F$57)+(AF34*$F$58)</f>
        <v>0.95748532935718444</v>
      </c>
    </row>
    <row r="48" spans="2:32" x14ac:dyDescent="0.3">
      <c r="B48" s="21">
        <v>-0.11586397700000001</v>
      </c>
      <c r="C48" s="21">
        <v>-7.8638257000000003E-2</v>
      </c>
      <c r="D48" s="21">
        <v>-0.275939869</v>
      </c>
      <c r="F48" s="21">
        <v>-0.130407</v>
      </c>
      <c r="H48" s="25">
        <f t="shared" ref="H48:H49" si="11">(H35*$F$34)+(I35*$F$35)+(J35*$F$36)+(K35*$F$37)+(L35*$F$38)+(M35*$F$39)+(N35*$F$40)+(O35*$F$41)+(P35*$F$42)+(Q35*$F$43)+(R35*$F$44)+(S35*$F$45)+(T35*$F$46)+(U35*$F$47)+(V35*$F$48)+(W35*$F$49)+(X35*$F$50)+(Y35*$F$51)+(Z35*$F$52)+(AA35*$F$53)+(AB35*$F$54)+(AC35*$F$55)+(AD35*$F$56)+(AE35*$F$57)+(AF35*$F$58)</f>
        <v>0.92594730505555167</v>
      </c>
    </row>
    <row r="49" spans="1:8" x14ac:dyDescent="0.3">
      <c r="B49" s="21">
        <v>-0.40408282600000001</v>
      </c>
      <c r="C49" s="21">
        <v>-0.43031961000000002</v>
      </c>
      <c r="D49" s="21">
        <v>-0.43091520500000002</v>
      </c>
      <c r="F49" s="21">
        <v>-0.47494332900000003</v>
      </c>
      <c r="H49" s="25">
        <f t="shared" si="11"/>
        <v>0.46395919678666175</v>
      </c>
    </row>
    <row r="50" spans="1:8" x14ac:dyDescent="0.3">
      <c r="B50" s="21">
        <v>0.17235487199999999</v>
      </c>
      <c r="C50" s="21">
        <v>0.22115568399999999</v>
      </c>
      <c r="D50" s="21">
        <v>-0.120266446</v>
      </c>
      <c r="F50" s="21">
        <v>0.25719636899999998</v>
      </c>
    </row>
    <row r="51" spans="1:8" x14ac:dyDescent="0.3">
      <c r="B51" s="21">
        <v>2.1039975999999998E-2</v>
      </c>
      <c r="C51" s="21">
        <v>0.117380858</v>
      </c>
      <c r="D51" s="21">
        <v>0.161062656</v>
      </c>
      <c r="F51" s="21">
        <v>3.100827E-3</v>
      </c>
      <c r="H51" s="1" t="s">
        <v>33</v>
      </c>
    </row>
    <row r="52" spans="1:8" x14ac:dyDescent="0.3">
      <c r="B52" s="21">
        <v>0.12912204399999999</v>
      </c>
      <c r="C52" s="21">
        <v>4.8197640999999999E-2</v>
      </c>
      <c r="D52" s="21">
        <v>-3.0213210000000001E-2</v>
      </c>
      <c r="F52" s="21">
        <v>0.21412932800000001</v>
      </c>
      <c r="H52">
        <f>(B34*$F$34)+(B35*$F$35)+(B36*$F$36)+(B37*$F$37)+(B38*$F$38)+(B39*$F$39)+(B40*$F$40)+(B41*$F$41)+(B42*$F$42)+(B43*$F$43)+(B44*$F$44)+(B45*$F$45)+(B46*$F$46)+(B47*$F$47)+(B48*$F$48)+(B49*$F$49)+(B50*$F$50)+(B51*$F$51)+(B52*$F$52)+(B53*$F$53)+(B54*$F$54)+(B55*$F$55)+(B56*$F$56)+(B57*$F$57)+(B58*$F$58)</f>
        <v>0.95748532935718444</v>
      </c>
    </row>
    <row r="53" spans="1:8" x14ac:dyDescent="0.3">
      <c r="B53" s="21">
        <v>-0.27798708</v>
      </c>
      <c r="C53" s="21">
        <v>-0.263126835</v>
      </c>
      <c r="D53" s="21">
        <v>-0.13888210200000001</v>
      </c>
      <c r="F53" s="21">
        <v>-0.32851538899999999</v>
      </c>
      <c r="H53">
        <f>(C34*$F$34)+(C35*$F$35)+(C36*$F$36)+(C37*$F$37)+(C38*$F$38)+(C39*$F$39)+(C40*$F$40)+(C41*$F$41)+(C42*$F$42)+(C43*$F$43)+(C44*$F$44)+(C45*$F$45)+(C46*$F$46)+(C47*$F$47)+(C48*$F$48)+(C49*$F$49)+(C50*$F$50)+(C51*$F$51)+(C52*$F$52)+(C53*$F$53)+(C54*$F$54)+(C55*$F$55)+(C56*$F$56)+(C57*$F$57)+(C58*$F$58)</f>
        <v>0.92594730505555167</v>
      </c>
    </row>
    <row r="54" spans="1:8" x14ac:dyDescent="0.3">
      <c r="B54" s="21">
        <v>8.2286480999999995E-2</v>
      </c>
      <c r="C54" s="21">
        <v>7.7023982000000005E-2</v>
      </c>
      <c r="D54" s="21">
        <v>8.5436552999999998E-2</v>
      </c>
      <c r="F54" s="21">
        <v>0.14522206200000001</v>
      </c>
      <c r="H54">
        <f>(D34*$F$34)+(D35*$F$35)+(D36*$F$36)+(D37*$F$37)+(D38*$F$38)+(D39*$F$39)+(D40*$F$40)+(D41*$F$41)+(D42*$F$42)+(D43*$F$43)+(D44*$F$44)+(D45*$F$45)+(D46*$F$46)+(D47*$F$47)+(D48*$F$48)+(D49*$F$49)+(D50*$F$50)+(D51*$F$51)+(D52*$F$52)+(D53*$F$53)+(D54*$F$54)+(D55*$F$55)+(D56*$F$56)+(D57*$F$57)+(D58*$F$58)</f>
        <v>0.46395919678666175</v>
      </c>
    </row>
    <row r="55" spans="1:8" x14ac:dyDescent="0.3">
      <c r="B55" s="21">
        <v>-0.17711048300000001</v>
      </c>
      <c r="C55" s="21">
        <v>-0.153586742</v>
      </c>
      <c r="D55" s="21">
        <v>2.4004887999999999E-2</v>
      </c>
      <c r="F55" s="21">
        <v>-0.173474041</v>
      </c>
    </row>
    <row r="56" spans="1:8" x14ac:dyDescent="0.3">
      <c r="B56" s="21">
        <v>-0.13027491999999999</v>
      </c>
      <c r="C56" s="21">
        <v>-0.107464597</v>
      </c>
      <c r="D56" s="21">
        <v>-2.2897260000000002E-3</v>
      </c>
      <c r="F56" s="21">
        <v>-8.3033255E-2</v>
      </c>
    </row>
    <row r="57" spans="1:8" x14ac:dyDescent="0.3">
      <c r="B57" s="21">
        <v>0.107505631</v>
      </c>
      <c r="C57" s="21">
        <v>8.2789249999999995E-2</v>
      </c>
      <c r="D57" s="21">
        <v>-4.8130778999999999E-2</v>
      </c>
      <c r="F57" s="21">
        <v>5.9087979999999998E-2</v>
      </c>
    </row>
    <row r="58" spans="1:8" x14ac:dyDescent="0.3">
      <c r="B58" s="21">
        <v>-7.781909E-3</v>
      </c>
      <c r="C58" s="21">
        <v>-3.2516112E-2</v>
      </c>
      <c r="D58" s="21">
        <v>0.344659563</v>
      </c>
      <c r="F58" s="21">
        <v>0.102155021</v>
      </c>
    </row>
    <row r="60" spans="1:8" ht="28.8" x14ac:dyDescent="0.55000000000000004">
      <c r="A60" s="20" t="s">
        <v>27</v>
      </c>
      <c r="B60" s="20"/>
      <c r="C60" s="20"/>
      <c r="D60" s="20"/>
      <c r="E60" s="20"/>
    </row>
    <row r="61" spans="1:8" x14ac:dyDescent="0.3">
      <c r="B61" s="1" t="s">
        <v>26</v>
      </c>
    </row>
    <row r="62" spans="1:8" x14ac:dyDescent="0.3">
      <c r="B62" s="21">
        <v>1</v>
      </c>
      <c r="C62">
        <v>0</v>
      </c>
      <c r="D62" s="21">
        <v>0</v>
      </c>
    </row>
    <row r="63" spans="1:8" x14ac:dyDescent="0.3">
      <c r="B63" s="21">
        <v>0</v>
      </c>
      <c r="C63">
        <v>1</v>
      </c>
      <c r="D63" s="21">
        <v>0</v>
      </c>
    </row>
    <row r="64" spans="1:8" x14ac:dyDescent="0.3">
      <c r="B64" s="21">
        <v>0</v>
      </c>
      <c r="C64">
        <v>0</v>
      </c>
      <c r="D64" s="21">
        <v>1</v>
      </c>
    </row>
    <row r="65" spans="1:5" x14ac:dyDescent="0.3">
      <c r="B65" s="21"/>
      <c r="D65" s="21"/>
    </row>
    <row r="66" spans="1:5" x14ac:dyDescent="0.3">
      <c r="A66" s="26" t="s">
        <v>29</v>
      </c>
      <c r="B66" s="27">
        <v>0</v>
      </c>
    </row>
    <row r="68" spans="1:5" ht="26.4" x14ac:dyDescent="0.3">
      <c r="B68" s="1" t="s">
        <v>28</v>
      </c>
    </row>
    <row r="69" spans="1:5" x14ac:dyDescent="0.3">
      <c r="B69" s="24">
        <f>H42+$B$66</f>
        <v>0.99999999945994</v>
      </c>
      <c r="C69" s="23">
        <f t="shared" ref="C69:D71" si="12">I42+$B$66</f>
        <v>0.97660763418365748</v>
      </c>
      <c r="D69" s="23">
        <f t="shared" si="12"/>
        <v>0.49076540725659096</v>
      </c>
    </row>
    <row r="70" spans="1:5" x14ac:dyDescent="0.3">
      <c r="B70" s="23">
        <f t="shared" ref="B70:B71" si="13">H43+$B$66</f>
        <v>0.97660763418365748</v>
      </c>
      <c r="C70" s="24">
        <f t="shared" si="12"/>
        <v>0.99999999997020605</v>
      </c>
      <c r="D70" s="23">
        <f t="shared" si="12"/>
        <v>0.5001827231161533</v>
      </c>
    </row>
    <row r="71" spans="1:5" x14ac:dyDescent="0.3">
      <c r="B71" s="23">
        <f t="shared" si="13"/>
        <v>0.49076540725659096</v>
      </c>
      <c r="C71" s="28">
        <f t="shared" si="12"/>
        <v>0.5001827231161533</v>
      </c>
      <c r="D71" s="24">
        <f t="shared" si="12"/>
        <v>1.0000000001555025</v>
      </c>
    </row>
    <row r="73" spans="1:5" ht="26.4" x14ac:dyDescent="0.3">
      <c r="B73" s="1" t="s">
        <v>30</v>
      </c>
    </row>
    <row r="74" spans="1:5" x14ac:dyDescent="0.3">
      <c r="B74" cm="1">
        <f t="array" ref="B74:D76">MINVERSE(B69:D71)</f>
        <v>21.630705919900716</v>
      </c>
      <c r="C74">
        <v>-21.091768502313208</v>
      </c>
      <c r="D74">
        <v>-6.586399519485571E-2</v>
      </c>
      <c r="E74" s="29"/>
    </row>
    <row r="75" spans="1:5" x14ac:dyDescent="0.3">
      <c r="B75">
        <v>-21.091768502313208</v>
      </c>
      <c r="C75">
        <v>21.899917232223718</v>
      </c>
      <c r="D75">
        <v>-0.60284987833880577</v>
      </c>
      <c r="E75" s="29"/>
    </row>
    <row r="76" spans="1:5" x14ac:dyDescent="0.3">
      <c r="B76">
        <v>-6.5863995194854169E-2</v>
      </c>
      <c r="C76">
        <v>-0.60284987833880732</v>
      </c>
      <c r="D76">
        <v>1.3338588639956768</v>
      </c>
    </row>
    <row r="78" spans="1:5" ht="28.8" x14ac:dyDescent="0.55000000000000004">
      <c r="A78" s="20" t="s">
        <v>31</v>
      </c>
      <c r="B78" s="20"/>
      <c r="C78" s="20"/>
      <c r="D78" s="20"/>
      <c r="E78" s="20"/>
    </row>
    <row r="79" spans="1:5" ht="26.4" x14ac:dyDescent="0.3">
      <c r="B79" s="1" t="s">
        <v>32</v>
      </c>
    </row>
    <row r="80" spans="1:5" x14ac:dyDescent="0.3">
      <c r="B80">
        <f>(B74*$H$52)+(C74*$H$53)+(D74*$H$54)</f>
        <v>1.1506591720642845</v>
      </c>
    </row>
    <row r="81" spans="1:2" x14ac:dyDescent="0.3">
      <c r="B81">
        <f t="shared" ref="B81:B82" si="14">(B75*$H$52)+(C75*$H$53)+(D75*$H$54)</f>
        <v>-0.19658731438267063</v>
      </c>
    </row>
    <row r="82" spans="1:2" x14ac:dyDescent="0.3">
      <c r="B82">
        <f t="shared" si="14"/>
        <v>-2.4149421666075366E-3</v>
      </c>
    </row>
    <row r="84" spans="1:2" x14ac:dyDescent="0.3">
      <c r="A84" s="7" t="s">
        <v>34</v>
      </c>
      <c r="B84">
        <f>E29-(B85*B29)-(B86*C29)</f>
        <v>3.0755855637944243</v>
      </c>
    </row>
    <row r="85" spans="1:2" x14ac:dyDescent="0.3">
      <c r="A85" s="7" t="s">
        <v>35</v>
      </c>
      <c r="B85">
        <f>(J29/G29)*B80</f>
        <v>0.96257385649847438</v>
      </c>
    </row>
    <row r="86" spans="1:2" x14ac:dyDescent="0.3">
      <c r="A86" s="7" t="s">
        <v>36</v>
      </c>
      <c r="B86">
        <f>(J29/H29)*B81</f>
        <v>-2.6316611076903129</v>
      </c>
    </row>
    <row r="87" spans="1:2" x14ac:dyDescent="0.3">
      <c r="A87" s="7" t="s">
        <v>37</v>
      </c>
      <c r="B87">
        <f>(J29/I29)*B82</f>
        <v>-0.1304818358378004</v>
      </c>
    </row>
  </sheetData>
  <mergeCells count="4">
    <mergeCell ref="A1:E1"/>
    <mergeCell ref="A32:E32"/>
    <mergeCell ref="A60:E60"/>
    <mergeCell ref="A78:E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Ncumisa Fakade</dc:creator>
  <cp:lastModifiedBy>Ncumisa Fakade</cp:lastModifiedBy>
  <dcterms:created xsi:type="dcterms:W3CDTF">2015-06-05T18:17:20Z</dcterms:created>
  <dcterms:modified xsi:type="dcterms:W3CDTF">2026-02-19T18:06:19Z</dcterms:modified>
</cp:coreProperties>
</file>